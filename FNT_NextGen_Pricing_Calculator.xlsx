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R&quot; #,##0.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3" fontId="0" fillId="2" borderId="0" pivotButton="0" quotePrefix="0" xfId="0"/>
    <xf numFmtId="165" fontId="0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0" fillId="2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68" customWidth="1" min="1" max="1"/>
    <col width="20" customWidth="1" min="2" max="2"/>
  </cols>
  <sheetData>
    <row r="1">
      <c r="A1" s="1" t="inlineStr">
        <is>
          <t>FNT NextGen - pricing calculator - RFQ DXCC1076308527EC - SAP 0400902</t>
        </is>
      </c>
    </row>
    <row r="2">
      <c r="A2" t="inlineStr">
        <is>
          <t>Yellow cells are inputs. Everything else calculates.</t>
        </is>
      </c>
    </row>
    <row r="4">
      <c r="A4" t="inlineStr">
        <is>
          <t>Quantity (rolls)</t>
        </is>
      </c>
      <c r="B4" s="2" t="n">
        <v>4800</v>
      </c>
    </row>
    <row r="5">
      <c r="A5" t="inlineStr">
        <is>
          <t>Supplier / OEM cost per roll (excl. VAT), landed at your warehouse</t>
        </is>
      </c>
      <c r="B5" s="3" t="n">
        <v>794</v>
      </c>
    </row>
    <row r="6">
      <c r="A6" t="inlineStr">
        <is>
          <t>Freight to Mthatha + King William's Town, total (excl. VAT)</t>
        </is>
      </c>
      <c r="B6" s="3" t="n"/>
    </row>
    <row r="7">
      <c r="A7" t="inlineStr">
        <is>
          <t>Other costs (sample, test reports, handling), total</t>
        </is>
      </c>
      <c r="B7" s="3" t="n"/>
    </row>
    <row r="8">
      <c r="A8" t="inlineStr">
        <is>
          <t>Quoted unit price per roll (excl. VAT)</t>
        </is>
      </c>
      <c r="B8" s="3" t="n">
        <v>1799</v>
      </c>
    </row>
    <row r="9">
      <c r="A9" t="inlineStr">
        <is>
          <t>VAT rate</t>
        </is>
      </c>
      <c r="B9" s="4" t="n">
        <v>0.15</v>
      </c>
    </row>
    <row r="11">
      <c r="A11" t="inlineStr">
        <is>
          <t>Total cost (excl. VAT)</t>
        </is>
      </c>
      <c r="B11" s="5">
        <f>B4*B5+B6+B7</f>
        <v/>
      </c>
    </row>
    <row r="12">
      <c r="A12" s="6" t="inlineStr">
        <is>
          <t>Unit price per roll quoted (excl. VAT), delivery included</t>
        </is>
      </c>
      <c r="B12" s="7">
        <f>B8</f>
        <v/>
      </c>
    </row>
    <row r="13">
      <c r="A13" s="6" t="inlineStr">
        <is>
          <t>Total price excl. VAT</t>
        </is>
      </c>
      <c r="B13" s="7">
        <f>ROUND(B12*B4,2)</f>
        <v/>
      </c>
    </row>
    <row r="14">
      <c r="A14" t="inlineStr">
        <is>
          <t>VAT</t>
        </is>
      </c>
      <c r="B14" s="5">
        <f>ROUND(B13*B9,2)</f>
        <v/>
      </c>
    </row>
    <row r="15">
      <c r="A15" s="6" t="inlineStr">
        <is>
          <t>Total price incl. VAT</t>
        </is>
      </c>
      <c r="B15" s="7">
        <f>B13+B14</f>
        <v/>
      </c>
    </row>
    <row r="16">
      <c r="A16" t="inlineStr">
        <is>
          <t>Gross profit (excl. VAT)</t>
        </is>
      </c>
      <c r="B16" s="5">
        <f>B13-B11</f>
        <v/>
      </c>
    </row>
    <row r="17">
      <c r="A17" t="inlineStr">
        <is>
          <t>Margin on price</t>
        </is>
      </c>
      <c r="B17" s="4">
        <f>B16/B13</f>
        <v/>
      </c>
    </row>
    <row r="18">
      <c r="A18" s="6" t="inlineStr">
        <is>
          <t>Scoring sensitivity (80/20)</t>
        </is>
      </c>
    </row>
    <row r="19">
      <c r="A19" t="inlineStr">
        <is>
          <t>Lowest competing price per roll (guess, excl. VAT)</t>
        </is>
      </c>
      <c r="B19" s="3" t="n"/>
    </row>
    <row r="20">
      <c r="A20" t="inlineStr">
        <is>
          <t>B-BBEE level (1-8, 0 = non-compliant)</t>
        </is>
      </c>
      <c r="B20" s="8" t="n"/>
    </row>
    <row r="21">
      <c r="A21" t="inlineStr">
        <is>
          <t>Price points = 80 x (1 - (ours - lowest)/lowest)</t>
        </is>
      </c>
      <c r="B21" s="9">
        <f>IF(OR(B19="",B19=0),"",MAX(0,80*(1-(MIN(B12,9E+99)-MIN(B12,B19))/MIN(B12,B19))))</f>
        <v/>
      </c>
    </row>
    <row r="22">
      <c r="A22" t="inlineStr">
        <is>
          <t>B-BBEE points</t>
        </is>
      </c>
      <c r="B22">
        <f>IF(B20="","",IFERROR(CHOOSE(B20,20,18,14,12,8,6,4,2),0))</f>
        <v/>
      </c>
    </row>
    <row r="23">
      <c r="A23" s="6" t="inlineStr">
        <is>
          <t>Estimated total points</t>
        </is>
      </c>
      <c r="B23" s="10">
        <f>IF(OR(B21="",B22=""),"",B21+B22)</f>
        <v/>
      </c>
    </row>
    <row r="25">
      <c r="A25" t="inlineStr">
        <is>
          <t>Note: 'lowest' assumes the lowest acceptable bidder's price per roll. If yours is the lowest, price points = 80.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2026-10-29T14:08:18Z</dcterms:created>
  <dcterms:modified xmlns:dcterms="http://purl.org/dc/terms/" xmlns:xsi="http://www.w3.org/2001/XMLSchema-instance" xsi:type="dcterms:W3CDTF">2026-10-29T14:08:18Z</dcterms:modified>
</cp:coreProperties>
</file>